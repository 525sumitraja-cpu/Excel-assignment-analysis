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eta\Downloads\Sumit Assignment\"/>
    </mc:Choice>
  </mc:AlternateContent>
  <xr:revisionPtr revIDLastSave="0" documentId="13_ncr:1_{9A78A2F8-BECF-4987-BBF8-2E65EC24275B}" xr6:coauthVersionLast="47" xr6:coauthVersionMax="47" xr10:uidLastSave="{00000000-0000-0000-0000-000000000000}"/>
  <bookViews>
    <workbookView xWindow="-110" yWindow="-110" windowWidth="19420" windowHeight="10300" xr2:uid="{0F3F67A5-0626-43BC-BF4D-A74193F8D618}"/>
  </bookViews>
  <sheets>
    <sheet name="Assignment 1" sheetId="2" r:id="rId1"/>
    <sheet name="Assignment 2" sheetId="3" r:id="rId2"/>
  </sheets>
  <definedNames>
    <definedName name="_xlnm._FilterDatabase" localSheetId="0" hidden="1">'Assignment 1'!$A$8:$H$28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2" i="3" l="1"/>
  <c r="L43" i="3"/>
  <c r="L34" i="3"/>
  <c r="E19" i="3"/>
  <c r="E18" i="3"/>
  <c r="E17" i="3"/>
  <c r="E16" i="3"/>
  <c r="E15" i="3"/>
  <c r="E14" i="3"/>
  <c r="E13" i="3"/>
  <c r="L26" i="3"/>
  <c r="L17" i="2"/>
  <c r="L16" i="2" a="1"/>
  <c r="L16" i="2" s="1"/>
  <c r="L15" i="2"/>
  <c r="L14" i="2"/>
  <c r="L11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9" i="2"/>
  <c r="L8" i="2" l="1"/>
  <c r="L10" i="2" a="1"/>
  <c r="L10" i="2" s="1"/>
  <c r="L13" i="2"/>
  <c r="L12" i="2"/>
  <c r="L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<sst xmlns="http://schemas.openxmlformats.org/spreadsheetml/2006/main" count="188" uniqueCount="97">
  <si>
    <t>Order ID</t>
  </si>
  <si>
    <t>Date</t>
  </si>
  <si>
    <t>SKU</t>
  </si>
  <si>
    <t>Units Sold</t>
  </si>
  <si>
    <t>Unit Price</t>
  </si>
  <si>
    <t>Category</t>
  </si>
  <si>
    <t>Region</t>
  </si>
  <si>
    <t>Channel</t>
  </si>
  <si>
    <t>PLATE10</t>
  </si>
  <si>
    <t>Plates</t>
  </si>
  <si>
    <t>West</t>
  </si>
  <si>
    <t>Amazon</t>
  </si>
  <si>
    <t>BOWL6</t>
  </si>
  <si>
    <t>Bowls</t>
  </si>
  <si>
    <t>East</t>
  </si>
  <si>
    <t>Shopify</t>
  </si>
  <si>
    <t>SPOON</t>
  </si>
  <si>
    <t>Cutlery</t>
  </si>
  <si>
    <t>South</t>
  </si>
  <si>
    <t>Faire</t>
  </si>
  <si>
    <t>FORK</t>
  </si>
  <si>
    <t>PLATE12</t>
  </si>
  <si>
    <t>North</t>
  </si>
  <si>
    <t>BOWL8</t>
  </si>
  <si>
    <t>TRAY10</t>
  </si>
  <si>
    <t>Trays</t>
  </si>
  <si>
    <t>TRAY12</t>
  </si>
  <si>
    <t>Welcome to Assignment 1
⚠️ Read carefully before starting:</t>
  </si>
  <si>
    <t>IMPORTANT ⚠️</t>
  </si>
  <si>
    <t>1. Do NOT insert, delete, or move rows/columns.</t>
  </si>
  <si>
    <t>Your Name:</t>
  </si>
  <si>
    <t>2. Answer only in YELLOW cells (Cell L2 and Column L8:L17).</t>
  </si>
  <si>
    <t>3. Use formulas – not manual typing. Script checks formula usage.</t>
  </si>
  <si>
    <t>4. Use the existing dataset values as given. 
Do not change any numbers in the sheet.</t>
  </si>
  <si>
    <t>5. Do not rename this sheet.</t>
  </si>
  <si>
    <t>Revenue (Need to calculate)</t>
  </si>
  <si>
    <t>Q1. Total revenue for Order ID 1001</t>
  </si>
  <si>
    <t>Q2. Total revenue for SKU "PLATE10"</t>
  </si>
  <si>
    <t>Q3. SKU with highest total revenue</t>
  </si>
  <si>
    <t>Q4. Total units sold in East region</t>
  </si>
  <si>
    <t>Q5. Total revenue from Amazon channel</t>
  </si>
  <si>
    <r>
      <t xml:space="preserve">Q6. Average order value (consider unique orders) 
</t>
    </r>
    <r>
      <rPr>
        <b/>
        <sz val="10"/>
        <color rgb="FFCC0000"/>
        <rFont val="Arial"/>
        <family val="2"/>
      </rPr>
      <t>Round it to 2 decimal point e.g 7.25</t>
    </r>
  </si>
  <si>
    <t>Q7. Total units of Bowls sold in East region</t>
  </si>
  <si>
    <t>Q8. All unique categories comma-separated</t>
  </si>
  <si>
    <t>Q9. Category with lowest average unit price</t>
  </si>
  <si>
    <t>Q10. Count of SKUs priced above $3</t>
  </si>
  <si>
    <t>1. Go to File → Make a Copy to create your own version.
2. This sheet is VIEW-ONLY for everyone
3. Complete both tabs in that sheet: Assignment 1 and Assignment 2</t>
  </si>
  <si>
    <t>Sumit Pandey</t>
  </si>
  <si>
    <t>Welcome to Assignment 2
⚠️ Read carefully before starting:</t>
  </si>
  <si>
    <t>INSTRUCTIONS</t>
  </si>
  <si>
    <t>1. Read each case carefully.</t>
  </si>
  <si>
    <t>2. Each case contains a list of SKUs, their quantities, and individual dimensions (in inches).</t>
  </si>
  <si>
    <t>3. Use the available Custom box sizes listed below to determine which one is most appropriate for the given order.</t>
  </si>
  <si>
    <t>4. Enter your final box choice (e.g., BX3, BX4, etc.) only in the yellow answer cell provided for each case.</t>
  </si>
  <si>
    <t>5. Choose the smallest box that can safely and realistically accommodate the full order, without excessive empty space.</t>
  </si>
  <si>
    <t>6. Do not edit or move any cells</t>
  </si>
  <si>
    <t>7. Your reasoning should consider total volume, product stackability, and efficient fit — not just pure mathematical volume.</t>
  </si>
  <si>
    <t>Available Custom Boxes</t>
  </si>
  <si>
    <t>Box ID</t>
  </si>
  <si>
    <t>Dimensions (in inches)</t>
  </si>
  <si>
    <t>BX1</t>
  </si>
  <si>
    <t>7 × 7 × 7</t>
  </si>
  <si>
    <t>BX2</t>
  </si>
  <si>
    <t>10 × 10 × 10</t>
  </si>
  <si>
    <t>BX3</t>
  </si>
  <si>
    <t>12 × 12 × 12</t>
  </si>
  <si>
    <t>BX4</t>
  </si>
  <si>
    <t>16 × 12 × 10</t>
  </si>
  <si>
    <t>BX5</t>
  </si>
  <si>
    <t>16 × 16 × 12</t>
  </si>
  <si>
    <t>BX6</t>
  </si>
  <si>
    <t>22 × 16 × 10</t>
  </si>
  <si>
    <t>BX7</t>
  </si>
  <si>
    <t>24 × 12 × 12</t>
  </si>
  <si>
    <t>- There are 4 independent order cases.
- For each case, recommend one suitable box from the above list.
- Enter only the box ID (e.g., BX4) in the Answer column beside each case.</t>
  </si>
  <si>
    <t>Case 1</t>
  </si>
  <si>
    <t>QUANTITY</t>
  </si>
  <si>
    <t>LENGTH</t>
  </si>
  <si>
    <t>BREADTH</t>
  </si>
  <si>
    <t>HEIGHT</t>
  </si>
  <si>
    <t>Recommended Box:</t>
  </si>
  <si>
    <t>MINIBOWL</t>
  </si>
  <si>
    <t>BOWL5</t>
  </si>
  <si>
    <t>Case 2</t>
  </si>
  <si>
    <t>TRAY22</t>
  </si>
  <si>
    <t>TRAY14x10</t>
  </si>
  <si>
    <t>PLATE-R9</t>
  </si>
  <si>
    <t>PLATE7</t>
  </si>
  <si>
    <t>Case 3</t>
  </si>
  <si>
    <t>TRAY15</t>
  </si>
  <si>
    <t>HEART6</t>
  </si>
  <si>
    <t>ROUND13</t>
  </si>
  <si>
    <t>Case 4</t>
  </si>
  <si>
    <t>ROUND-3P</t>
  </si>
  <si>
    <t>TRAY14</t>
  </si>
  <si>
    <t xml:space="preserve">total volume </t>
  </si>
  <si>
    <t>Box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</si>
</sst>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990000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CC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3F3F3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3" xfId="0" applyFont="1" applyBorder="1" applyAlignment="1">
      <alignment wrapText="1"/>
    </xf>
    <xf numFmtId="0" fontId="1" fillId="3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7" fillId="3" borderId="3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6" fillId="0" borderId="3" xfId="0" applyFont="1" applyBorder="1" applyAlignment="1">
      <alignment horizontal="right" vertical="center" wrapText="1"/>
    </xf>
    <xf numFmtId="0" fontId="1" fillId="0" borderId="3" xfId="0" applyFont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7" xfId="0" applyFont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7" borderId="3" xfId="0" applyFont="1" applyFill="1" applyBorder="1" applyAlignment="1">
      <alignment wrapText="1"/>
    </xf>
    <xf numFmtId="1" fontId="1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5" borderId="13" xfId="0" applyFont="1" applyFill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7" fillId="10" borderId="13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7" fillId="11" borderId="14" xfId="0" applyFont="1" applyFill="1" applyBorder="1" applyAlignment="1">
      <alignment horizontal="center" vertical="center" wrapText="1"/>
    </xf>
    <xf numFmtId="0" fontId="7" fillId="11" borderId="13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vertical="center" wrapText="1"/>
    </xf>
    <xf numFmtId="0" fontId="5" fillId="3" borderId="9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F1CB0-3798-4946-ADC0-B1B03F1BD234}">
  <dimension ref="A1:Z999"/>
  <sheetViews>
    <sheetView tabSelected="1" workbookViewId="0">
      <selection sqref="A1:C1"/>
    </sheetView>
  </sheetViews>
  <sheetFormatPr defaultRowHeight="14.5" x14ac:dyDescent="0.35"/>
  <cols>
    <col min="1" max="1" width="13.7265625" customWidth="1"/>
    <col min="2" max="2" width="15.453125" customWidth="1"/>
    <col min="3" max="3" width="29.453125" customWidth="1"/>
    <col min="4" max="4" width="11" customWidth="1"/>
    <col min="8" max="8" width="21.54296875" customWidth="1"/>
    <col min="9" max="9" width="18.08984375" customWidth="1"/>
    <col min="11" max="11" width="44.7265625" customWidth="1"/>
    <col min="12" max="12" width="25" customWidth="1"/>
  </cols>
  <sheetData>
    <row r="1" spans="1:26" ht="66" customHeight="1" thickBot="1" x14ac:dyDescent="0.4">
      <c r="A1" s="41" t="s">
        <v>27</v>
      </c>
      <c r="B1" s="42"/>
      <c r="C1" s="43"/>
      <c r="D1" s="1"/>
      <c r="E1" s="1"/>
      <c r="F1" s="2"/>
      <c r="G1" s="2"/>
      <c r="H1" s="3" t="s">
        <v>28</v>
      </c>
      <c r="I1" s="38" t="s">
        <v>46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40"/>
      <c r="U1" s="1"/>
      <c r="V1" s="1"/>
      <c r="W1" s="1"/>
      <c r="X1" s="1"/>
      <c r="Y1" s="1"/>
      <c r="Z1" s="1"/>
    </row>
    <row r="2" spans="1:26" s="12" customFormat="1" ht="20.5" thickBot="1" x14ac:dyDescent="0.4">
      <c r="A2" s="44" t="s">
        <v>29</v>
      </c>
      <c r="B2" s="45"/>
      <c r="C2" s="46"/>
      <c r="D2" s="10"/>
      <c r="E2" s="10"/>
      <c r="F2" s="10"/>
      <c r="G2" s="10"/>
      <c r="H2" s="10"/>
      <c r="I2" s="10"/>
      <c r="J2" s="10"/>
      <c r="K2" s="9" t="s">
        <v>30</v>
      </c>
      <c r="L2" s="14" t="s">
        <v>47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s="12" customFormat="1" ht="22.5" customHeight="1" thickBot="1" x14ac:dyDescent="0.4">
      <c r="A3" s="44" t="s">
        <v>31</v>
      </c>
      <c r="B3" s="45"/>
      <c r="C3" s="46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s="12" customFormat="1" ht="15" thickBot="1" x14ac:dyDescent="0.4">
      <c r="A4" s="44" t="s">
        <v>32</v>
      </c>
      <c r="B4" s="45"/>
      <c r="C4" s="4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s="12" customFormat="1" ht="30" customHeight="1" thickBot="1" x14ac:dyDescent="0.4">
      <c r="A5" s="44" t="s">
        <v>33</v>
      </c>
      <c r="B5" s="45"/>
      <c r="C5" s="4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s="12" customFormat="1" ht="19.5" customHeight="1" thickBot="1" x14ac:dyDescent="0.4">
      <c r="A6" s="47" t="s">
        <v>34</v>
      </c>
      <c r="B6" s="48"/>
      <c r="C6" s="49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" thickBot="1" x14ac:dyDescent="0.4">
      <c r="A7" s="5"/>
      <c r="B7" s="5"/>
      <c r="C7" s="5"/>
      <c r="D7" s="5"/>
      <c r="E7" s="5"/>
      <c r="F7" s="5"/>
      <c r="G7" s="5"/>
      <c r="H7" s="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s="12" customFormat="1" ht="25.5" thickBot="1" x14ac:dyDescent="0.35">
      <c r="A8" s="15" t="s">
        <v>0</v>
      </c>
      <c r="B8" s="16" t="s">
        <v>1</v>
      </c>
      <c r="C8" s="16" t="s">
        <v>2</v>
      </c>
      <c r="D8" s="16" t="s">
        <v>3</v>
      </c>
      <c r="E8" s="16" t="s">
        <v>4</v>
      </c>
      <c r="F8" s="16" t="s">
        <v>5</v>
      </c>
      <c r="G8" s="17" t="s">
        <v>6</v>
      </c>
      <c r="H8" s="17" t="s">
        <v>7</v>
      </c>
      <c r="I8" s="18" t="s">
        <v>35</v>
      </c>
      <c r="J8" s="2"/>
      <c r="K8" s="7" t="s">
        <v>36</v>
      </c>
      <c r="L8" s="11">
        <f>SUM(I9:I10)</f>
        <v>16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thickBot="1" x14ac:dyDescent="0.4">
      <c r="A9" s="19">
        <v>1001</v>
      </c>
      <c r="B9" s="20">
        <v>45778</v>
      </c>
      <c r="C9" s="21" t="s">
        <v>8</v>
      </c>
      <c r="D9" s="24">
        <v>4</v>
      </c>
      <c r="E9" s="22">
        <v>2.5</v>
      </c>
      <c r="F9" s="22" t="s">
        <v>9</v>
      </c>
      <c r="G9" s="21" t="s">
        <v>10</v>
      </c>
      <c r="H9" s="21" t="s">
        <v>11</v>
      </c>
      <c r="I9" s="23">
        <f>D9*E9</f>
        <v>10</v>
      </c>
      <c r="J9" s="1"/>
      <c r="K9" s="8" t="s">
        <v>37</v>
      </c>
      <c r="L9" s="4">
        <f>SUMIFS(I9:I28,C9:C28,"PLATE10")</f>
        <v>25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4">
      <c r="A10" s="19">
        <v>1001</v>
      </c>
      <c r="B10" s="20">
        <v>45778</v>
      </c>
      <c r="C10" s="21" t="s">
        <v>12</v>
      </c>
      <c r="D10" s="24">
        <v>2</v>
      </c>
      <c r="E10" s="22">
        <v>3</v>
      </c>
      <c r="F10" s="22" t="s">
        <v>13</v>
      </c>
      <c r="G10" s="21" t="s">
        <v>10</v>
      </c>
      <c r="H10" s="21" t="s">
        <v>11</v>
      </c>
      <c r="I10" s="23">
        <f t="shared" ref="I10:I28" si="0">D10*E10</f>
        <v>6</v>
      </c>
      <c r="J10" s="1"/>
      <c r="K10" s="8" t="s">
        <v>38</v>
      </c>
      <c r="L10" s="4" t="str" cm="1">
        <f t="array" ref="L10">INDEX(C9:C28, MATCH(MAX(SUMIFS(I9:I28, C9:C28, C9:C28)), SUMIFS(I9:I28, C9:C28, C9:C28), 0))</f>
        <v>BOWL6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4">
      <c r="A11" s="19">
        <v>1002</v>
      </c>
      <c r="B11" s="20">
        <v>45779</v>
      </c>
      <c r="C11" s="21" t="s">
        <v>8</v>
      </c>
      <c r="D11" s="24">
        <v>1</v>
      </c>
      <c r="E11" s="22">
        <v>2.5</v>
      </c>
      <c r="F11" s="22" t="s">
        <v>9</v>
      </c>
      <c r="G11" s="21" t="s">
        <v>14</v>
      </c>
      <c r="H11" s="21" t="s">
        <v>15</v>
      </c>
      <c r="I11" s="23">
        <f t="shared" si="0"/>
        <v>2.5</v>
      </c>
      <c r="J11" s="1"/>
      <c r="K11" s="8" t="s">
        <v>39</v>
      </c>
      <c r="L11" s="4">
        <f>SUMIFS(D9:D28, G9:G28, "East")</f>
        <v>17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4">
      <c r="A12" s="19">
        <v>1003</v>
      </c>
      <c r="B12" s="20">
        <v>45780</v>
      </c>
      <c r="C12" s="21" t="s">
        <v>16</v>
      </c>
      <c r="D12" s="24">
        <v>10</v>
      </c>
      <c r="E12" s="22">
        <v>0.55000000000000004</v>
      </c>
      <c r="F12" s="22" t="s">
        <v>17</v>
      </c>
      <c r="G12" s="21" t="s">
        <v>18</v>
      </c>
      <c r="H12" s="21" t="s">
        <v>19</v>
      </c>
      <c r="I12" s="23">
        <f t="shared" si="0"/>
        <v>5.5</v>
      </c>
      <c r="J12" s="1"/>
      <c r="K12" s="8" t="s">
        <v>40</v>
      </c>
      <c r="L12" s="4">
        <f>SUMIFS(I9:I28, H9:H28, "Amazon")</f>
        <v>81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thickBot="1" x14ac:dyDescent="0.4">
      <c r="A13" s="19">
        <v>1004</v>
      </c>
      <c r="B13" s="20">
        <v>45781</v>
      </c>
      <c r="C13" s="21" t="s">
        <v>12</v>
      </c>
      <c r="D13" s="24">
        <v>5</v>
      </c>
      <c r="E13" s="22">
        <v>3</v>
      </c>
      <c r="F13" s="22" t="s">
        <v>13</v>
      </c>
      <c r="G13" s="21" t="s">
        <v>14</v>
      </c>
      <c r="H13" s="21" t="s">
        <v>11</v>
      </c>
      <c r="I13" s="23">
        <f t="shared" si="0"/>
        <v>15</v>
      </c>
      <c r="J13" s="1"/>
      <c r="K13" s="8" t="s">
        <v>41</v>
      </c>
      <c r="L13" s="4">
        <f>ROUND(SUM(I9:I28) / COUNTA(_xlfn.UNIQUE(A9:A28)), 2)</f>
        <v>10.53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4">
      <c r="A14" s="19">
        <v>1005</v>
      </c>
      <c r="B14" s="20">
        <v>45782</v>
      </c>
      <c r="C14" s="21" t="s">
        <v>20</v>
      </c>
      <c r="D14" s="24">
        <v>8</v>
      </c>
      <c r="E14" s="22">
        <v>0.6</v>
      </c>
      <c r="F14" s="22" t="s">
        <v>17</v>
      </c>
      <c r="G14" s="21" t="s">
        <v>10</v>
      </c>
      <c r="H14" s="21" t="s">
        <v>19</v>
      </c>
      <c r="I14" s="23">
        <f t="shared" si="0"/>
        <v>4.8</v>
      </c>
      <c r="J14" s="1"/>
      <c r="K14" s="8" t="s">
        <v>42</v>
      </c>
      <c r="L14" s="4">
        <f>SUMIFS(D9:D28, F9:F28, "Bowl*", G9:G28, "East")</f>
        <v>8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4">
      <c r="A15" s="19">
        <v>1006</v>
      </c>
      <c r="B15" s="20">
        <v>45783</v>
      </c>
      <c r="C15" s="21" t="s">
        <v>21</v>
      </c>
      <c r="D15" s="24">
        <v>6</v>
      </c>
      <c r="E15" s="22">
        <v>3.5</v>
      </c>
      <c r="F15" s="22" t="s">
        <v>9</v>
      </c>
      <c r="G15" s="21" t="s">
        <v>22</v>
      </c>
      <c r="H15" s="21" t="s">
        <v>15</v>
      </c>
      <c r="I15" s="23">
        <f t="shared" si="0"/>
        <v>21</v>
      </c>
      <c r="J15" s="1"/>
      <c r="K15" s="8" t="s">
        <v>43</v>
      </c>
      <c r="L15" s="4" t="str">
        <f>_xlfn.TEXTJOIN(", ", TRUE, _xlfn.UNIQUE(F9:F28))</f>
        <v>Plates, Bowls, Cutlery, Trays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4">
      <c r="A16" s="19">
        <v>1007</v>
      </c>
      <c r="B16" s="20">
        <v>45784</v>
      </c>
      <c r="C16" s="21" t="s">
        <v>16</v>
      </c>
      <c r="D16" s="24">
        <v>12</v>
      </c>
      <c r="E16" s="22">
        <v>0.55000000000000004</v>
      </c>
      <c r="F16" s="22" t="s">
        <v>17</v>
      </c>
      <c r="G16" s="21" t="s">
        <v>18</v>
      </c>
      <c r="H16" s="21" t="s">
        <v>19</v>
      </c>
      <c r="I16" s="23">
        <f t="shared" si="0"/>
        <v>6.6000000000000005</v>
      </c>
      <c r="J16" s="1"/>
      <c r="K16" s="8" t="s">
        <v>44</v>
      </c>
      <c r="L16" s="4" t="str" cm="1">
        <f t="array" ref="L16">INDEX(F9:F28, MATCH(MIN(AVERAGEIFS(E9:E28, F9:F28, F9:F28)), AVERAGEIFS(E9:E28, F9:F28, F9:F28), 0))</f>
        <v>Cutlery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4">
      <c r="A17" s="19">
        <v>1008</v>
      </c>
      <c r="B17" s="20">
        <v>45785</v>
      </c>
      <c r="C17" s="21" t="s">
        <v>23</v>
      </c>
      <c r="D17" s="24">
        <v>3</v>
      </c>
      <c r="E17" s="22">
        <v>4</v>
      </c>
      <c r="F17" s="22" t="s">
        <v>13</v>
      </c>
      <c r="G17" s="21" t="s">
        <v>14</v>
      </c>
      <c r="H17" s="21" t="s">
        <v>11</v>
      </c>
      <c r="I17" s="23">
        <f t="shared" si="0"/>
        <v>12</v>
      </c>
      <c r="J17" s="1"/>
      <c r="K17" s="8" t="s">
        <v>45</v>
      </c>
      <c r="L17" s="4">
        <f>COUNTIF(E9:E28, "&gt;3")</f>
        <v>6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4">
      <c r="A18" s="19">
        <v>1009</v>
      </c>
      <c r="B18" s="20">
        <v>45786</v>
      </c>
      <c r="C18" s="21" t="s">
        <v>24</v>
      </c>
      <c r="D18" s="24">
        <v>2</v>
      </c>
      <c r="E18" s="22">
        <v>6</v>
      </c>
      <c r="F18" s="22" t="s">
        <v>25</v>
      </c>
      <c r="G18" s="21" t="s">
        <v>10</v>
      </c>
      <c r="H18" s="21" t="s">
        <v>15</v>
      </c>
      <c r="I18" s="23">
        <f t="shared" si="0"/>
        <v>12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4">
      <c r="A19" s="19">
        <v>1010</v>
      </c>
      <c r="B19" s="20">
        <v>45787</v>
      </c>
      <c r="C19" s="21" t="s">
        <v>20</v>
      </c>
      <c r="D19" s="24">
        <v>5</v>
      </c>
      <c r="E19" s="22">
        <v>0.6</v>
      </c>
      <c r="F19" s="22" t="s">
        <v>17</v>
      </c>
      <c r="G19" s="21" t="s">
        <v>22</v>
      </c>
      <c r="H19" s="21" t="s">
        <v>19</v>
      </c>
      <c r="I19" s="23">
        <f t="shared" si="0"/>
        <v>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4">
      <c r="A20" s="19">
        <v>1011</v>
      </c>
      <c r="B20" s="20">
        <v>45788</v>
      </c>
      <c r="C20" s="21" t="s">
        <v>12</v>
      </c>
      <c r="D20" s="24">
        <v>4</v>
      </c>
      <c r="E20" s="22">
        <v>3</v>
      </c>
      <c r="F20" s="22" t="s">
        <v>13</v>
      </c>
      <c r="G20" s="21" t="s">
        <v>18</v>
      </c>
      <c r="H20" s="21" t="s">
        <v>11</v>
      </c>
      <c r="I20" s="23">
        <f t="shared" si="0"/>
        <v>12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4">
      <c r="A21" s="19">
        <v>1012</v>
      </c>
      <c r="B21" s="20">
        <v>45789</v>
      </c>
      <c r="C21" s="21" t="s">
        <v>8</v>
      </c>
      <c r="D21" s="24">
        <v>3</v>
      </c>
      <c r="E21" s="22">
        <v>2.5</v>
      </c>
      <c r="F21" s="22" t="s">
        <v>9</v>
      </c>
      <c r="G21" s="21" t="s">
        <v>14</v>
      </c>
      <c r="H21" s="21" t="s">
        <v>15</v>
      </c>
      <c r="I21" s="23">
        <f t="shared" si="0"/>
        <v>7.5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4">
      <c r="A22" s="19">
        <v>1013</v>
      </c>
      <c r="B22" s="20">
        <v>45790</v>
      </c>
      <c r="C22" s="21" t="s">
        <v>16</v>
      </c>
      <c r="D22" s="24">
        <v>20</v>
      </c>
      <c r="E22" s="22">
        <v>0.55000000000000004</v>
      </c>
      <c r="F22" s="22" t="s">
        <v>17</v>
      </c>
      <c r="G22" s="21" t="s">
        <v>18</v>
      </c>
      <c r="H22" s="21" t="s">
        <v>19</v>
      </c>
      <c r="I22" s="23">
        <f t="shared" si="0"/>
        <v>11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4">
      <c r="A23" s="19">
        <v>1014</v>
      </c>
      <c r="B23" s="20">
        <v>45791</v>
      </c>
      <c r="C23" s="21" t="s">
        <v>26</v>
      </c>
      <c r="D23" s="24">
        <v>1</v>
      </c>
      <c r="E23" s="22">
        <v>7</v>
      </c>
      <c r="F23" s="22" t="s">
        <v>25</v>
      </c>
      <c r="G23" s="21" t="s">
        <v>22</v>
      </c>
      <c r="H23" s="21" t="s">
        <v>15</v>
      </c>
      <c r="I23" s="23">
        <f t="shared" si="0"/>
        <v>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4">
      <c r="A24" s="19">
        <v>1015</v>
      </c>
      <c r="B24" s="20">
        <v>45792</v>
      </c>
      <c r="C24" s="21" t="s">
        <v>8</v>
      </c>
      <c r="D24" s="24">
        <v>2</v>
      </c>
      <c r="E24" s="22">
        <v>2.5</v>
      </c>
      <c r="F24" s="22" t="s">
        <v>9</v>
      </c>
      <c r="G24" s="21" t="s">
        <v>10</v>
      </c>
      <c r="H24" s="21" t="s">
        <v>11</v>
      </c>
      <c r="I24" s="23">
        <f t="shared" si="0"/>
        <v>5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4">
      <c r="A25" s="19">
        <v>1016</v>
      </c>
      <c r="B25" s="20">
        <v>45793</v>
      </c>
      <c r="C25" s="21" t="s">
        <v>21</v>
      </c>
      <c r="D25" s="24">
        <v>5</v>
      </c>
      <c r="E25" s="22">
        <v>3.5</v>
      </c>
      <c r="F25" s="22" t="s">
        <v>9</v>
      </c>
      <c r="G25" s="21" t="s">
        <v>14</v>
      </c>
      <c r="H25" s="21" t="s">
        <v>15</v>
      </c>
      <c r="I25" s="23">
        <f t="shared" si="0"/>
        <v>17.5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4">
      <c r="A26" s="19">
        <v>1017</v>
      </c>
      <c r="B26" s="20">
        <v>45794</v>
      </c>
      <c r="C26" s="21" t="s">
        <v>12</v>
      </c>
      <c r="D26" s="24">
        <v>7</v>
      </c>
      <c r="E26" s="22">
        <v>3</v>
      </c>
      <c r="F26" s="22" t="s">
        <v>13</v>
      </c>
      <c r="G26" s="21" t="s">
        <v>10</v>
      </c>
      <c r="H26" s="21" t="s">
        <v>11</v>
      </c>
      <c r="I26" s="23">
        <f t="shared" si="0"/>
        <v>21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4">
      <c r="A27" s="19">
        <v>1018</v>
      </c>
      <c r="B27" s="20">
        <v>45795</v>
      </c>
      <c r="C27" s="21" t="s">
        <v>16</v>
      </c>
      <c r="D27" s="24">
        <v>5</v>
      </c>
      <c r="E27" s="22">
        <v>0.55000000000000004</v>
      </c>
      <c r="F27" s="22" t="s">
        <v>17</v>
      </c>
      <c r="G27" s="21" t="s">
        <v>18</v>
      </c>
      <c r="H27" s="21" t="s">
        <v>19</v>
      </c>
      <c r="I27" s="23">
        <f t="shared" si="0"/>
        <v>2.75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4">
      <c r="A28" s="19">
        <v>1019</v>
      </c>
      <c r="B28" s="20">
        <v>45796</v>
      </c>
      <c r="C28" s="21" t="s">
        <v>24</v>
      </c>
      <c r="D28" s="24">
        <v>3</v>
      </c>
      <c r="E28" s="22">
        <v>6</v>
      </c>
      <c r="F28" s="22" t="s">
        <v>25</v>
      </c>
      <c r="G28" s="21" t="s">
        <v>10</v>
      </c>
      <c r="H28" s="21" t="s">
        <v>15</v>
      </c>
      <c r="I28" s="23">
        <f t="shared" si="0"/>
        <v>18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4">
      <c r="A30" s="1"/>
      <c r="B30" s="1"/>
      <c r="C30" s="1"/>
      <c r="D30" s="1"/>
      <c r="E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autoFilter ref="A8:H28" xr:uid="{784F1CB0-3798-4946-ADC0-B1B03F1BD234}"/>
  <mergeCells count="7">
    <mergeCell ref="A5:C5"/>
    <mergeCell ref="A6:C6"/>
    <mergeCell ref="I1:T1"/>
    <mergeCell ref="A1:C1"/>
    <mergeCell ref="A2:C2"/>
    <mergeCell ref="A3:C3"/>
    <mergeCell ref="A4:C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FFD8-D317-48F8-ACBF-E509981D8B50}">
  <dimension ref="A1:Z993"/>
  <sheetViews>
    <sheetView workbookViewId="0">
      <selection sqref="A1:H1"/>
    </sheetView>
  </sheetViews>
  <sheetFormatPr defaultRowHeight="14.5" x14ac:dyDescent="0.35"/>
  <cols>
    <col min="1" max="1" width="11.1796875" style="12" customWidth="1"/>
    <col min="2" max="2" width="13.54296875" style="12" customWidth="1"/>
    <col min="3" max="3" width="14.90625" style="12" customWidth="1"/>
    <col min="4" max="4" width="10.36328125" style="12" customWidth="1"/>
    <col min="5" max="16384" width="8.7265625" style="12"/>
  </cols>
  <sheetData>
    <row r="1" spans="1:26" ht="33" customHeight="1" x14ac:dyDescent="0.35">
      <c r="A1" s="58" t="s">
        <v>48</v>
      </c>
      <c r="B1" s="58"/>
      <c r="C1" s="58"/>
      <c r="D1" s="58"/>
      <c r="E1" s="58"/>
      <c r="F1" s="58"/>
      <c r="G1" s="58"/>
      <c r="H1" s="5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x14ac:dyDescent="0.35">
      <c r="A2" s="59" t="s">
        <v>49</v>
      </c>
      <c r="B2" s="59"/>
      <c r="C2" s="59"/>
      <c r="D2" s="59"/>
      <c r="E2" s="59"/>
      <c r="F2" s="59"/>
      <c r="G2" s="59"/>
      <c r="H2" s="59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x14ac:dyDescent="0.35">
      <c r="A3" s="55" t="s">
        <v>50</v>
      </c>
      <c r="B3" s="55"/>
      <c r="C3" s="55"/>
      <c r="D3" s="55"/>
      <c r="E3" s="55"/>
      <c r="F3" s="55"/>
      <c r="G3" s="55"/>
      <c r="H3" s="55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26" customHeight="1" x14ac:dyDescent="0.35">
      <c r="A4" s="55" t="s">
        <v>51</v>
      </c>
      <c r="B4" s="55"/>
      <c r="C4" s="55"/>
      <c r="D4" s="55"/>
      <c r="E4" s="55"/>
      <c r="F4" s="55"/>
      <c r="G4" s="55"/>
      <c r="H4" s="55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26" customHeight="1" x14ac:dyDescent="0.35">
      <c r="A5" s="55" t="s">
        <v>52</v>
      </c>
      <c r="B5" s="55"/>
      <c r="C5" s="55"/>
      <c r="D5" s="55"/>
      <c r="E5" s="55"/>
      <c r="F5" s="55"/>
      <c r="G5" s="55"/>
      <c r="H5" s="55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26" customHeight="1" x14ac:dyDescent="0.35">
      <c r="A6" s="55" t="s">
        <v>53</v>
      </c>
      <c r="B6" s="55"/>
      <c r="C6" s="55"/>
      <c r="D6" s="55"/>
      <c r="E6" s="55"/>
      <c r="F6" s="55"/>
      <c r="G6" s="55"/>
      <c r="H6" s="55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26" customHeight="1" x14ac:dyDescent="0.35">
      <c r="A7" s="55" t="s">
        <v>54</v>
      </c>
      <c r="B7" s="55"/>
      <c r="C7" s="55"/>
      <c r="D7" s="55"/>
      <c r="E7" s="55"/>
      <c r="F7" s="55"/>
      <c r="G7" s="55"/>
      <c r="H7" s="55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x14ac:dyDescent="0.35">
      <c r="A8" s="55" t="s">
        <v>55</v>
      </c>
      <c r="B8" s="55"/>
      <c r="C8" s="55"/>
      <c r="D8" s="55"/>
      <c r="E8" s="55"/>
      <c r="F8" s="55"/>
      <c r="G8" s="55"/>
      <c r="H8" s="55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26" customHeight="1" thickBot="1" x14ac:dyDescent="0.4">
      <c r="A9" s="56" t="s">
        <v>56</v>
      </c>
      <c r="B9" s="56"/>
      <c r="C9" s="56"/>
      <c r="D9" s="56"/>
      <c r="E9" s="56"/>
      <c r="F9" s="56"/>
      <c r="G9" s="56"/>
      <c r="H9" s="56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x14ac:dyDescent="0.3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54" customHeight="1" thickBot="1" x14ac:dyDescent="0.4">
      <c r="A11" s="28"/>
      <c r="B11" s="57" t="s">
        <v>57</v>
      </c>
      <c r="C11" s="57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26.5" thickBot="1" x14ac:dyDescent="0.4">
      <c r="A12" s="31"/>
      <c r="B12" s="32" t="s">
        <v>58</v>
      </c>
      <c r="C12" s="32" t="s">
        <v>59</v>
      </c>
      <c r="D12" s="28"/>
      <c r="E12" s="36" t="s">
        <v>96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6" thickBot="1" x14ac:dyDescent="0.4">
      <c r="A13" s="31"/>
      <c r="B13" s="33" t="s">
        <v>60</v>
      </c>
      <c r="C13" s="33" t="s">
        <v>61</v>
      </c>
      <c r="D13" s="28"/>
      <c r="E13" s="37">
        <f>7*7*7</f>
        <v>343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6" thickBot="1" x14ac:dyDescent="0.4">
      <c r="A14" s="31"/>
      <c r="B14" s="33" t="s">
        <v>62</v>
      </c>
      <c r="C14" s="33" t="s">
        <v>63</v>
      </c>
      <c r="D14" s="28"/>
      <c r="E14" s="37">
        <f>10*10*10</f>
        <v>1000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6" thickBot="1" x14ac:dyDescent="0.4">
      <c r="A15" s="31"/>
      <c r="B15" s="33" t="s">
        <v>64</v>
      </c>
      <c r="C15" s="33" t="s">
        <v>65</v>
      </c>
      <c r="D15" s="28"/>
      <c r="E15" s="37">
        <f>12*12*12</f>
        <v>1728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6" thickBot="1" x14ac:dyDescent="0.4">
      <c r="A16" s="31"/>
      <c r="B16" s="33" t="s">
        <v>66</v>
      </c>
      <c r="C16" s="33" t="s">
        <v>67</v>
      </c>
      <c r="D16" s="28"/>
      <c r="E16" s="37">
        <f>16*12*10</f>
        <v>1920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6" thickBot="1" x14ac:dyDescent="0.4">
      <c r="A17" s="31"/>
      <c r="B17" s="33" t="s">
        <v>68</v>
      </c>
      <c r="C17" s="33" t="s">
        <v>69</v>
      </c>
      <c r="D17" s="28"/>
      <c r="E17" s="37">
        <f>16*16*12</f>
        <v>3072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6" thickBot="1" x14ac:dyDescent="0.4">
      <c r="A18" s="31"/>
      <c r="B18" s="33" t="s">
        <v>70</v>
      </c>
      <c r="C18" s="33" t="s">
        <v>71</v>
      </c>
      <c r="D18" s="28"/>
      <c r="E18" s="37">
        <f>22*16*10</f>
        <v>3520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6" thickBot="1" x14ac:dyDescent="0.4">
      <c r="A19" s="31"/>
      <c r="B19" s="33" t="s">
        <v>72</v>
      </c>
      <c r="C19" s="33" t="s">
        <v>73</v>
      </c>
      <c r="D19" s="28"/>
      <c r="E19" s="37">
        <f>24*12*12</f>
        <v>3456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x14ac:dyDescent="0.3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5.5" x14ac:dyDescent="0.35">
      <c r="A21" s="25" t="s">
        <v>74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5" thickBot="1" x14ac:dyDescent="0.4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5" thickBot="1" x14ac:dyDescent="0.4">
      <c r="A23" s="30"/>
      <c r="B23" s="30"/>
      <c r="C23" s="30"/>
      <c r="D23" s="30"/>
      <c r="E23" s="30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5" thickBot="1" x14ac:dyDescent="0.4">
      <c r="A24" s="50" t="s">
        <v>75</v>
      </c>
      <c r="B24" s="51"/>
      <c r="C24" s="51"/>
      <c r="D24" s="51"/>
      <c r="E24" s="52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5" thickBot="1" x14ac:dyDescent="0.4">
      <c r="A25" s="34" t="s">
        <v>2</v>
      </c>
      <c r="B25" s="35" t="s">
        <v>76</v>
      </c>
      <c r="C25" s="35" t="s">
        <v>77</v>
      </c>
      <c r="D25" s="35" t="s">
        <v>78</v>
      </c>
      <c r="E25" s="35" t="s">
        <v>79</v>
      </c>
      <c r="F25" s="28"/>
      <c r="G25" s="28"/>
      <c r="H25" s="28"/>
      <c r="I25" s="30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26" customHeight="1" thickBot="1" x14ac:dyDescent="0.4">
      <c r="A26" s="26" t="s">
        <v>8</v>
      </c>
      <c r="B26" s="27">
        <v>1</v>
      </c>
      <c r="C26" s="27">
        <v>10</v>
      </c>
      <c r="D26" s="27">
        <v>10</v>
      </c>
      <c r="E26" s="27">
        <v>4</v>
      </c>
      <c r="F26" s="28"/>
      <c r="G26" s="53" t="s">
        <v>80</v>
      </c>
      <c r="H26" s="54"/>
      <c r="I26" s="29" t="s">
        <v>62</v>
      </c>
      <c r="J26" s="28"/>
      <c r="K26" s="28" t="s">
        <v>95</v>
      </c>
      <c r="L26" s="28">
        <f>SUM(C26*D26*E26,B27*C27*D27*E27,B28*C28*D28*E28)</f>
        <v>996</v>
      </c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9.5" customHeight="1" thickBot="1" x14ac:dyDescent="0.4">
      <c r="A27" s="26" t="s">
        <v>81</v>
      </c>
      <c r="B27" s="27">
        <v>4</v>
      </c>
      <c r="C27" s="27">
        <v>3.5</v>
      </c>
      <c r="D27" s="27">
        <v>3.5</v>
      </c>
      <c r="E27" s="27">
        <v>4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9.5" customHeight="1" thickBot="1" x14ac:dyDescent="0.4">
      <c r="A28" s="26" t="s">
        <v>82</v>
      </c>
      <c r="B28" s="27">
        <v>4</v>
      </c>
      <c r="C28" s="27">
        <v>5</v>
      </c>
      <c r="D28" s="27">
        <v>5</v>
      </c>
      <c r="E28" s="27">
        <v>4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x14ac:dyDescent="0.3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x14ac:dyDescent="0.3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5" thickBot="1" x14ac:dyDescent="0.4">
      <c r="A31" s="30"/>
      <c r="B31" s="30"/>
      <c r="C31" s="30"/>
      <c r="D31" s="30"/>
      <c r="E31" s="30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5" thickBot="1" x14ac:dyDescent="0.4">
      <c r="A32" s="50" t="s">
        <v>83</v>
      </c>
      <c r="B32" s="51"/>
      <c r="C32" s="51"/>
      <c r="D32" s="51"/>
      <c r="E32" s="52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5" thickBot="1" x14ac:dyDescent="0.4">
      <c r="A33" s="34" t="s">
        <v>2</v>
      </c>
      <c r="B33" s="35" t="s">
        <v>76</v>
      </c>
      <c r="C33" s="35" t="s">
        <v>77</v>
      </c>
      <c r="D33" s="35" t="s">
        <v>78</v>
      </c>
      <c r="E33" s="35" t="s">
        <v>79</v>
      </c>
      <c r="F33" s="28"/>
      <c r="G33" s="28"/>
      <c r="H33" s="28"/>
      <c r="I33" s="30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26" customHeight="1" thickBot="1" x14ac:dyDescent="0.4">
      <c r="A34" s="26" t="s">
        <v>84</v>
      </c>
      <c r="B34" s="27">
        <v>1</v>
      </c>
      <c r="C34" s="27">
        <v>22</v>
      </c>
      <c r="D34" s="27">
        <v>12</v>
      </c>
      <c r="E34" s="27">
        <v>2</v>
      </c>
      <c r="F34" s="28"/>
      <c r="G34" s="53" t="s">
        <v>80</v>
      </c>
      <c r="H34" s="54"/>
      <c r="I34" s="29" t="s">
        <v>68</v>
      </c>
      <c r="J34" s="28"/>
      <c r="K34" s="28" t="s">
        <v>95</v>
      </c>
      <c r="L34" s="28">
        <f>SUM(C34*D34*E34,B35*C35*D35*E35,C36*D36*E36,B37*C37*D37*E37)</f>
        <v>2364</v>
      </c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5" thickBot="1" x14ac:dyDescent="0.4">
      <c r="A35" s="26" t="s">
        <v>85</v>
      </c>
      <c r="B35" s="27">
        <v>2</v>
      </c>
      <c r="C35" s="27">
        <v>14</v>
      </c>
      <c r="D35" s="27">
        <v>10</v>
      </c>
      <c r="E35" s="27">
        <v>4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5" thickBot="1" x14ac:dyDescent="0.4">
      <c r="A36" s="26" t="s">
        <v>86</v>
      </c>
      <c r="B36" s="27">
        <v>1</v>
      </c>
      <c r="C36" s="27">
        <v>9</v>
      </c>
      <c r="D36" s="27">
        <v>9</v>
      </c>
      <c r="E36" s="27">
        <v>4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5" thickBot="1" x14ac:dyDescent="0.4">
      <c r="A37" s="26" t="s">
        <v>87</v>
      </c>
      <c r="B37" s="27">
        <v>2</v>
      </c>
      <c r="C37" s="27">
        <v>7</v>
      </c>
      <c r="D37" s="27">
        <v>7</v>
      </c>
      <c r="E37" s="27">
        <v>4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x14ac:dyDescent="0.3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x14ac:dyDescent="0.3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5" thickBot="1" x14ac:dyDescent="0.4">
      <c r="A40" s="30"/>
      <c r="B40" s="30"/>
      <c r="C40" s="30"/>
      <c r="D40" s="30"/>
      <c r="E40" s="30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5" thickBot="1" x14ac:dyDescent="0.4">
      <c r="A41" s="50" t="s">
        <v>88</v>
      </c>
      <c r="B41" s="51"/>
      <c r="C41" s="51"/>
      <c r="D41" s="51"/>
      <c r="E41" s="52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5" thickBot="1" x14ac:dyDescent="0.4">
      <c r="A42" s="34" t="s">
        <v>2</v>
      </c>
      <c r="B42" s="35" t="s">
        <v>76</v>
      </c>
      <c r="C42" s="35" t="s">
        <v>77</v>
      </c>
      <c r="D42" s="35" t="s">
        <v>78</v>
      </c>
      <c r="E42" s="35" t="s">
        <v>79</v>
      </c>
      <c r="F42" s="28"/>
      <c r="G42" s="28"/>
      <c r="H42" s="28"/>
      <c r="I42" s="30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6" customHeight="1" thickBot="1" x14ac:dyDescent="0.4">
      <c r="A43" s="26" t="s">
        <v>89</v>
      </c>
      <c r="B43" s="27">
        <v>4</v>
      </c>
      <c r="C43" s="27">
        <v>15</v>
      </c>
      <c r="D43" s="27">
        <v>10</v>
      </c>
      <c r="E43" s="27">
        <v>2</v>
      </c>
      <c r="F43" s="28"/>
      <c r="G43" s="53" t="s">
        <v>80</v>
      </c>
      <c r="H43" s="54"/>
      <c r="I43" s="29" t="s">
        <v>68</v>
      </c>
      <c r="J43" s="28"/>
      <c r="K43" s="28" t="s">
        <v>95</v>
      </c>
      <c r="L43" s="28">
        <f>SUM(B43*C43*D43*E43,B44*C44*D44*E44,B45*C45*D45*E45)</f>
        <v>2164</v>
      </c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5" thickBot="1" x14ac:dyDescent="0.4">
      <c r="A44" s="26" t="s">
        <v>90</v>
      </c>
      <c r="B44" s="27">
        <v>2</v>
      </c>
      <c r="C44" s="27">
        <v>6</v>
      </c>
      <c r="D44" s="27">
        <v>6</v>
      </c>
      <c r="E44" s="27">
        <v>4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5" thickBot="1" x14ac:dyDescent="0.4">
      <c r="A45" s="26" t="s">
        <v>91</v>
      </c>
      <c r="B45" s="27">
        <v>2</v>
      </c>
      <c r="C45" s="27">
        <v>13</v>
      </c>
      <c r="D45" s="27">
        <v>13</v>
      </c>
      <c r="E45" s="27">
        <v>2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x14ac:dyDescent="0.3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x14ac:dyDescent="0.3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5" thickBot="1" x14ac:dyDescent="0.4">
      <c r="A48" s="30"/>
      <c r="B48" s="30"/>
      <c r="C48" s="30"/>
      <c r="D48" s="30"/>
      <c r="E48" s="30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5" thickBot="1" x14ac:dyDescent="0.4">
      <c r="A49" s="50" t="s">
        <v>92</v>
      </c>
      <c r="B49" s="51"/>
      <c r="C49" s="51"/>
      <c r="D49" s="51"/>
      <c r="E49" s="52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5" thickBot="1" x14ac:dyDescent="0.4">
      <c r="A50" s="34" t="s">
        <v>2</v>
      </c>
      <c r="B50" s="35" t="s">
        <v>76</v>
      </c>
      <c r="C50" s="35" t="s">
        <v>77</v>
      </c>
      <c r="D50" s="35" t="s">
        <v>78</v>
      </c>
      <c r="E50" s="35" t="s">
        <v>79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5" thickBot="1" x14ac:dyDescent="0.4">
      <c r="A51" s="26" t="s">
        <v>81</v>
      </c>
      <c r="B51" s="27">
        <v>2</v>
      </c>
      <c r="C51" s="27">
        <v>3.5</v>
      </c>
      <c r="D51" s="27">
        <v>3.5</v>
      </c>
      <c r="E51" s="27">
        <v>4</v>
      </c>
      <c r="F51" s="28"/>
      <c r="G51" s="28"/>
      <c r="H51" s="28"/>
      <c r="I51" s="30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6" customHeight="1" thickBot="1" x14ac:dyDescent="0.4">
      <c r="A52" s="26" t="s">
        <v>12</v>
      </c>
      <c r="B52" s="27">
        <v>3</v>
      </c>
      <c r="C52" s="27">
        <v>6</v>
      </c>
      <c r="D52" s="27">
        <v>6</v>
      </c>
      <c r="E52" s="27">
        <v>4</v>
      </c>
      <c r="F52" s="28"/>
      <c r="G52" s="53" t="s">
        <v>80</v>
      </c>
      <c r="H52" s="54"/>
      <c r="I52" s="29" t="s">
        <v>68</v>
      </c>
      <c r="J52" s="28"/>
      <c r="K52" s="28" t="s">
        <v>95</v>
      </c>
      <c r="L52" s="28">
        <f>SUM(B51*C51*D51*E51,B52*C52*D52*E52,B53*C53*D53*E53,B54*C54*D54*E54,B55*C55*D55*E55)</f>
        <v>2290</v>
      </c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5" thickBot="1" x14ac:dyDescent="0.4">
      <c r="A53" s="26" t="s">
        <v>93</v>
      </c>
      <c r="B53" s="27">
        <v>2</v>
      </c>
      <c r="C53" s="27">
        <v>10</v>
      </c>
      <c r="D53" s="27">
        <v>10</v>
      </c>
      <c r="E53" s="27">
        <v>4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5" thickBot="1" x14ac:dyDescent="0.4">
      <c r="A54" s="26" t="s">
        <v>90</v>
      </c>
      <c r="B54" s="27">
        <v>2</v>
      </c>
      <c r="C54" s="27">
        <v>6</v>
      </c>
      <c r="D54" s="27">
        <v>6</v>
      </c>
      <c r="E54" s="27">
        <v>4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5" thickBot="1" x14ac:dyDescent="0.4">
      <c r="A55" s="26" t="s">
        <v>94</v>
      </c>
      <c r="B55" s="27">
        <v>2</v>
      </c>
      <c r="C55" s="27">
        <v>14</v>
      </c>
      <c r="D55" s="27">
        <v>12</v>
      </c>
      <c r="E55" s="27">
        <v>2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x14ac:dyDescent="0.3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x14ac:dyDescent="0.3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x14ac:dyDescent="0.3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x14ac:dyDescent="0.3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x14ac:dyDescent="0.3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x14ac:dyDescent="0.3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x14ac:dyDescent="0.3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x14ac:dyDescent="0.3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x14ac:dyDescent="0.3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x14ac:dyDescent="0.3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x14ac:dyDescent="0.3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x14ac:dyDescent="0.3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x14ac:dyDescent="0.3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x14ac:dyDescent="0.3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x14ac:dyDescent="0.3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x14ac:dyDescent="0.3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x14ac:dyDescent="0.35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x14ac:dyDescent="0.3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x14ac:dyDescent="0.3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x14ac:dyDescent="0.3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x14ac:dyDescent="0.3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x14ac:dyDescent="0.3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x14ac:dyDescent="0.3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x14ac:dyDescent="0.3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x14ac:dyDescent="0.3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x14ac:dyDescent="0.3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x14ac:dyDescent="0.3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x14ac:dyDescent="0.3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x14ac:dyDescent="0.3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x14ac:dyDescent="0.3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x14ac:dyDescent="0.3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x14ac:dyDescent="0.3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x14ac:dyDescent="0.3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x14ac:dyDescent="0.3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x14ac:dyDescent="0.3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x14ac:dyDescent="0.3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x14ac:dyDescent="0.3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x14ac:dyDescent="0.3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x14ac:dyDescent="0.3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x14ac:dyDescent="0.3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x14ac:dyDescent="0.3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x14ac:dyDescent="0.3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x14ac:dyDescent="0.3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x14ac:dyDescent="0.3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x14ac:dyDescent="0.3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x14ac:dyDescent="0.3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x14ac:dyDescent="0.3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x14ac:dyDescent="0.3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x14ac:dyDescent="0.3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x14ac:dyDescent="0.3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x14ac:dyDescent="0.3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x14ac:dyDescent="0.3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x14ac:dyDescent="0.3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x14ac:dyDescent="0.3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x14ac:dyDescent="0.3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x14ac:dyDescent="0.3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x14ac:dyDescent="0.3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x14ac:dyDescent="0.3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x14ac:dyDescent="0.3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x14ac:dyDescent="0.3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x14ac:dyDescent="0.3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x14ac:dyDescent="0.3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x14ac:dyDescent="0.3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x14ac:dyDescent="0.3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x14ac:dyDescent="0.3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x14ac:dyDescent="0.3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x14ac:dyDescent="0.3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x14ac:dyDescent="0.3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x14ac:dyDescent="0.3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x14ac:dyDescent="0.3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x14ac:dyDescent="0.3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x14ac:dyDescent="0.3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x14ac:dyDescent="0.3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x14ac:dyDescent="0.3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x14ac:dyDescent="0.3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x14ac:dyDescent="0.3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x14ac:dyDescent="0.3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x14ac:dyDescent="0.3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x14ac:dyDescent="0.3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x14ac:dyDescent="0.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x14ac:dyDescent="0.3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x14ac:dyDescent="0.3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x14ac:dyDescent="0.3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x14ac:dyDescent="0.3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x14ac:dyDescent="0.3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x14ac:dyDescent="0.3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x14ac:dyDescent="0.3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x14ac:dyDescent="0.3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x14ac:dyDescent="0.3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x14ac:dyDescent="0.3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x14ac:dyDescent="0.3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x14ac:dyDescent="0.3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x14ac:dyDescent="0.3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x14ac:dyDescent="0.3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x14ac:dyDescent="0.3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x14ac:dyDescent="0.3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x14ac:dyDescent="0.3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x14ac:dyDescent="0.3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x14ac:dyDescent="0.3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x14ac:dyDescent="0.3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x14ac:dyDescent="0.3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x14ac:dyDescent="0.3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x14ac:dyDescent="0.3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x14ac:dyDescent="0.3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x14ac:dyDescent="0.3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x14ac:dyDescent="0.3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x14ac:dyDescent="0.3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x14ac:dyDescent="0.3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x14ac:dyDescent="0.3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x14ac:dyDescent="0.3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x14ac:dyDescent="0.3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x14ac:dyDescent="0.3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x14ac:dyDescent="0.3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x14ac:dyDescent="0.3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x14ac:dyDescent="0.3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x14ac:dyDescent="0.3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x14ac:dyDescent="0.3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x14ac:dyDescent="0.3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x14ac:dyDescent="0.3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x14ac:dyDescent="0.3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x14ac:dyDescent="0.3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x14ac:dyDescent="0.3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x14ac:dyDescent="0.3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x14ac:dyDescent="0.3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x14ac:dyDescent="0.3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x14ac:dyDescent="0.3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x14ac:dyDescent="0.3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x14ac:dyDescent="0.3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x14ac:dyDescent="0.3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x14ac:dyDescent="0.3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x14ac:dyDescent="0.3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x14ac:dyDescent="0.3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x14ac:dyDescent="0.3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x14ac:dyDescent="0.3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x14ac:dyDescent="0.3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x14ac:dyDescent="0.3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x14ac:dyDescent="0.3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x14ac:dyDescent="0.3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x14ac:dyDescent="0.3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x14ac:dyDescent="0.3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x14ac:dyDescent="0.3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x14ac:dyDescent="0.3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x14ac:dyDescent="0.3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x14ac:dyDescent="0.3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x14ac:dyDescent="0.3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x14ac:dyDescent="0.3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x14ac:dyDescent="0.3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x14ac:dyDescent="0.3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x14ac:dyDescent="0.3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x14ac:dyDescent="0.3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x14ac:dyDescent="0.3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x14ac:dyDescent="0.3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x14ac:dyDescent="0.3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x14ac:dyDescent="0.3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x14ac:dyDescent="0.3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x14ac:dyDescent="0.3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x14ac:dyDescent="0.3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x14ac:dyDescent="0.3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x14ac:dyDescent="0.3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x14ac:dyDescent="0.3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x14ac:dyDescent="0.3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x14ac:dyDescent="0.3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x14ac:dyDescent="0.3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x14ac:dyDescent="0.3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x14ac:dyDescent="0.3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x14ac:dyDescent="0.35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x14ac:dyDescent="0.35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x14ac:dyDescent="0.35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x14ac:dyDescent="0.3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x14ac:dyDescent="0.3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x14ac:dyDescent="0.35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x14ac:dyDescent="0.35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x14ac:dyDescent="0.3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x14ac:dyDescent="0.35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x14ac:dyDescent="0.35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x14ac:dyDescent="0.35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x14ac:dyDescent="0.35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x14ac:dyDescent="0.3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x14ac:dyDescent="0.3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x14ac:dyDescent="0.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x14ac:dyDescent="0.3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x14ac:dyDescent="0.3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x14ac:dyDescent="0.3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x14ac:dyDescent="0.3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x14ac:dyDescent="0.35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x14ac:dyDescent="0.35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x14ac:dyDescent="0.35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x14ac:dyDescent="0.3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x14ac:dyDescent="0.3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x14ac:dyDescent="0.3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x14ac:dyDescent="0.3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x14ac:dyDescent="0.35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x14ac:dyDescent="0.35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x14ac:dyDescent="0.35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x14ac:dyDescent="0.35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x14ac:dyDescent="0.35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x14ac:dyDescent="0.3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x14ac:dyDescent="0.3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x14ac:dyDescent="0.3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x14ac:dyDescent="0.3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x14ac:dyDescent="0.3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x14ac:dyDescent="0.3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x14ac:dyDescent="0.3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x14ac:dyDescent="0.3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x14ac:dyDescent="0.3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x14ac:dyDescent="0.3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x14ac:dyDescent="0.3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x14ac:dyDescent="0.3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x14ac:dyDescent="0.3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x14ac:dyDescent="0.3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x14ac:dyDescent="0.3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x14ac:dyDescent="0.3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x14ac:dyDescent="0.3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x14ac:dyDescent="0.3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x14ac:dyDescent="0.3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x14ac:dyDescent="0.3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x14ac:dyDescent="0.3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x14ac:dyDescent="0.3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x14ac:dyDescent="0.3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x14ac:dyDescent="0.3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x14ac:dyDescent="0.3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x14ac:dyDescent="0.3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x14ac:dyDescent="0.3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x14ac:dyDescent="0.35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x14ac:dyDescent="0.3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x14ac:dyDescent="0.3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x14ac:dyDescent="0.3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x14ac:dyDescent="0.3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x14ac:dyDescent="0.35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x14ac:dyDescent="0.3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x14ac:dyDescent="0.35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x14ac:dyDescent="0.35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x14ac:dyDescent="0.35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x14ac:dyDescent="0.35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x14ac:dyDescent="0.35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x14ac:dyDescent="0.35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x14ac:dyDescent="0.35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x14ac:dyDescent="0.35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x14ac:dyDescent="0.35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x14ac:dyDescent="0.3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x14ac:dyDescent="0.35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x14ac:dyDescent="0.35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x14ac:dyDescent="0.35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x14ac:dyDescent="0.35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x14ac:dyDescent="0.35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x14ac:dyDescent="0.35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x14ac:dyDescent="0.35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x14ac:dyDescent="0.35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x14ac:dyDescent="0.35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x14ac:dyDescent="0.3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x14ac:dyDescent="0.35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x14ac:dyDescent="0.3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x14ac:dyDescent="0.35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x14ac:dyDescent="0.35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x14ac:dyDescent="0.35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x14ac:dyDescent="0.35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x14ac:dyDescent="0.35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x14ac:dyDescent="0.35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x14ac:dyDescent="0.35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x14ac:dyDescent="0.3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x14ac:dyDescent="0.35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x14ac:dyDescent="0.35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x14ac:dyDescent="0.35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x14ac:dyDescent="0.35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x14ac:dyDescent="0.35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x14ac:dyDescent="0.35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x14ac:dyDescent="0.35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x14ac:dyDescent="0.35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x14ac:dyDescent="0.35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x14ac:dyDescent="0.3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x14ac:dyDescent="0.35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x14ac:dyDescent="0.35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x14ac:dyDescent="0.35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x14ac:dyDescent="0.35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x14ac:dyDescent="0.35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x14ac:dyDescent="0.35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x14ac:dyDescent="0.35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x14ac:dyDescent="0.35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x14ac:dyDescent="0.35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x14ac:dyDescent="0.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x14ac:dyDescent="0.35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x14ac:dyDescent="0.35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x14ac:dyDescent="0.35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x14ac:dyDescent="0.35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x14ac:dyDescent="0.35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x14ac:dyDescent="0.35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x14ac:dyDescent="0.35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x14ac:dyDescent="0.35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x14ac:dyDescent="0.35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x14ac:dyDescent="0.3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x14ac:dyDescent="0.35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x14ac:dyDescent="0.35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x14ac:dyDescent="0.35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x14ac:dyDescent="0.35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x14ac:dyDescent="0.35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x14ac:dyDescent="0.35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x14ac:dyDescent="0.35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x14ac:dyDescent="0.35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x14ac:dyDescent="0.35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x14ac:dyDescent="0.3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x14ac:dyDescent="0.35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x14ac:dyDescent="0.35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x14ac:dyDescent="0.35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x14ac:dyDescent="0.35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x14ac:dyDescent="0.35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x14ac:dyDescent="0.35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x14ac:dyDescent="0.35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x14ac:dyDescent="0.35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x14ac:dyDescent="0.35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x14ac:dyDescent="0.3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x14ac:dyDescent="0.35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x14ac:dyDescent="0.35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x14ac:dyDescent="0.35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x14ac:dyDescent="0.35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x14ac:dyDescent="0.35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x14ac:dyDescent="0.35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x14ac:dyDescent="0.35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x14ac:dyDescent="0.35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x14ac:dyDescent="0.35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x14ac:dyDescent="0.3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x14ac:dyDescent="0.35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x14ac:dyDescent="0.35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x14ac:dyDescent="0.35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x14ac:dyDescent="0.35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x14ac:dyDescent="0.35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x14ac:dyDescent="0.35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x14ac:dyDescent="0.35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x14ac:dyDescent="0.35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x14ac:dyDescent="0.35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x14ac:dyDescent="0.3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x14ac:dyDescent="0.35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x14ac:dyDescent="0.35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x14ac:dyDescent="0.35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x14ac:dyDescent="0.35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x14ac:dyDescent="0.35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x14ac:dyDescent="0.35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x14ac:dyDescent="0.35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x14ac:dyDescent="0.35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x14ac:dyDescent="0.35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x14ac:dyDescent="0.3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x14ac:dyDescent="0.35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x14ac:dyDescent="0.35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x14ac:dyDescent="0.35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x14ac:dyDescent="0.35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x14ac:dyDescent="0.35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x14ac:dyDescent="0.35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x14ac:dyDescent="0.35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x14ac:dyDescent="0.35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x14ac:dyDescent="0.35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x14ac:dyDescent="0.3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x14ac:dyDescent="0.35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x14ac:dyDescent="0.35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x14ac:dyDescent="0.35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x14ac:dyDescent="0.35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x14ac:dyDescent="0.35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x14ac:dyDescent="0.35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x14ac:dyDescent="0.35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x14ac:dyDescent="0.35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x14ac:dyDescent="0.35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x14ac:dyDescent="0.3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x14ac:dyDescent="0.35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x14ac:dyDescent="0.35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x14ac:dyDescent="0.35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x14ac:dyDescent="0.35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x14ac:dyDescent="0.35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x14ac:dyDescent="0.35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x14ac:dyDescent="0.35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x14ac:dyDescent="0.35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x14ac:dyDescent="0.35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x14ac:dyDescent="0.3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x14ac:dyDescent="0.35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x14ac:dyDescent="0.35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x14ac:dyDescent="0.35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x14ac:dyDescent="0.35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x14ac:dyDescent="0.35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x14ac:dyDescent="0.35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x14ac:dyDescent="0.35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x14ac:dyDescent="0.35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x14ac:dyDescent="0.35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x14ac:dyDescent="0.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x14ac:dyDescent="0.35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x14ac:dyDescent="0.35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x14ac:dyDescent="0.35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x14ac:dyDescent="0.35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x14ac:dyDescent="0.35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x14ac:dyDescent="0.35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x14ac:dyDescent="0.35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x14ac:dyDescent="0.35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x14ac:dyDescent="0.35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x14ac:dyDescent="0.3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x14ac:dyDescent="0.35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x14ac:dyDescent="0.35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x14ac:dyDescent="0.35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x14ac:dyDescent="0.35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x14ac:dyDescent="0.35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x14ac:dyDescent="0.35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x14ac:dyDescent="0.35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x14ac:dyDescent="0.35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x14ac:dyDescent="0.35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x14ac:dyDescent="0.3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x14ac:dyDescent="0.35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x14ac:dyDescent="0.35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x14ac:dyDescent="0.35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x14ac:dyDescent="0.35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x14ac:dyDescent="0.35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x14ac:dyDescent="0.35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x14ac:dyDescent="0.35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x14ac:dyDescent="0.35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x14ac:dyDescent="0.35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x14ac:dyDescent="0.3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x14ac:dyDescent="0.35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x14ac:dyDescent="0.35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x14ac:dyDescent="0.35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x14ac:dyDescent="0.35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x14ac:dyDescent="0.35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x14ac:dyDescent="0.35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x14ac:dyDescent="0.35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x14ac:dyDescent="0.35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x14ac:dyDescent="0.35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x14ac:dyDescent="0.3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x14ac:dyDescent="0.35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x14ac:dyDescent="0.35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x14ac:dyDescent="0.35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x14ac:dyDescent="0.35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x14ac:dyDescent="0.35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x14ac:dyDescent="0.35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x14ac:dyDescent="0.35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x14ac:dyDescent="0.35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x14ac:dyDescent="0.35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x14ac:dyDescent="0.3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x14ac:dyDescent="0.35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x14ac:dyDescent="0.35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x14ac:dyDescent="0.35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x14ac:dyDescent="0.35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x14ac:dyDescent="0.35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x14ac:dyDescent="0.35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x14ac:dyDescent="0.35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x14ac:dyDescent="0.35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x14ac:dyDescent="0.35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x14ac:dyDescent="0.3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x14ac:dyDescent="0.35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x14ac:dyDescent="0.35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x14ac:dyDescent="0.35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x14ac:dyDescent="0.35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x14ac:dyDescent="0.35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x14ac:dyDescent="0.35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x14ac:dyDescent="0.35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x14ac:dyDescent="0.35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x14ac:dyDescent="0.35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x14ac:dyDescent="0.3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x14ac:dyDescent="0.35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x14ac:dyDescent="0.35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x14ac:dyDescent="0.35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x14ac:dyDescent="0.35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x14ac:dyDescent="0.35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x14ac:dyDescent="0.35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x14ac:dyDescent="0.35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x14ac:dyDescent="0.35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x14ac:dyDescent="0.35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x14ac:dyDescent="0.3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x14ac:dyDescent="0.35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x14ac:dyDescent="0.35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x14ac:dyDescent="0.35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x14ac:dyDescent="0.35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x14ac:dyDescent="0.35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x14ac:dyDescent="0.35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x14ac:dyDescent="0.35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x14ac:dyDescent="0.35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x14ac:dyDescent="0.35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x14ac:dyDescent="0.3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x14ac:dyDescent="0.35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x14ac:dyDescent="0.35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x14ac:dyDescent="0.3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x14ac:dyDescent="0.3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x14ac:dyDescent="0.35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x14ac:dyDescent="0.35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x14ac:dyDescent="0.3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x14ac:dyDescent="0.3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x14ac:dyDescent="0.35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x14ac:dyDescent="0.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x14ac:dyDescent="0.35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x14ac:dyDescent="0.35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x14ac:dyDescent="0.3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x14ac:dyDescent="0.3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x14ac:dyDescent="0.3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x14ac:dyDescent="0.3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x14ac:dyDescent="0.3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x14ac:dyDescent="0.3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x14ac:dyDescent="0.3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x14ac:dyDescent="0.3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x14ac:dyDescent="0.3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x14ac:dyDescent="0.35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x14ac:dyDescent="0.35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x14ac:dyDescent="0.35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x14ac:dyDescent="0.35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x14ac:dyDescent="0.35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x14ac:dyDescent="0.35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x14ac:dyDescent="0.35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x14ac:dyDescent="0.35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x14ac:dyDescent="0.3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x14ac:dyDescent="0.35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x14ac:dyDescent="0.35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x14ac:dyDescent="0.35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x14ac:dyDescent="0.35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x14ac:dyDescent="0.35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x14ac:dyDescent="0.35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x14ac:dyDescent="0.35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x14ac:dyDescent="0.35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x14ac:dyDescent="0.35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x14ac:dyDescent="0.3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x14ac:dyDescent="0.35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x14ac:dyDescent="0.35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x14ac:dyDescent="0.35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x14ac:dyDescent="0.35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x14ac:dyDescent="0.35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x14ac:dyDescent="0.35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x14ac:dyDescent="0.35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x14ac:dyDescent="0.35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x14ac:dyDescent="0.35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x14ac:dyDescent="0.3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x14ac:dyDescent="0.35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x14ac:dyDescent="0.35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x14ac:dyDescent="0.35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x14ac:dyDescent="0.35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x14ac:dyDescent="0.35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x14ac:dyDescent="0.35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x14ac:dyDescent="0.35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x14ac:dyDescent="0.35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x14ac:dyDescent="0.35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x14ac:dyDescent="0.3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x14ac:dyDescent="0.35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x14ac:dyDescent="0.35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x14ac:dyDescent="0.35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x14ac:dyDescent="0.35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x14ac:dyDescent="0.35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x14ac:dyDescent="0.35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x14ac:dyDescent="0.35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x14ac:dyDescent="0.35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x14ac:dyDescent="0.35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x14ac:dyDescent="0.3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x14ac:dyDescent="0.35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x14ac:dyDescent="0.35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x14ac:dyDescent="0.35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x14ac:dyDescent="0.35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x14ac:dyDescent="0.35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x14ac:dyDescent="0.35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x14ac:dyDescent="0.35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x14ac:dyDescent="0.35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x14ac:dyDescent="0.35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x14ac:dyDescent="0.3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x14ac:dyDescent="0.35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x14ac:dyDescent="0.35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x14ac:dyDescent="0.35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x14ac:dyDescent="0.35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x14ac:dyDescent="0.35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x14ac:dyDescent="0.35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x14ac:dyDescent="0.35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x14ac:dyDescent="0.35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x14ac:dyDescent="0.35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x14ac:dyDescent="0.3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x14ac:dyDescent="0.35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x14ac:dyDescent="0.35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x14ac:dyDescent="0.35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x14ac:dyDescent="0.35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x14ac:dyDescent="0.35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x14ac:dyDescent="0.35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x14ac:dyDescent="0.35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x14ac:dyDescent="0.35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x14ac:dyDescent="0.35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x14ac:dyDescent="0.3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x14ac:dyDescent="0.35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x14ac:dyDescent="0.35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x14ac:dyDescent="0.35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x14ac:dyDescent="0.35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x14ac:dyDescent="0.35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x14ac:dyDescent="0.35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x14ac:dyDescent="0.35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x14ac:dyDescent="0.35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x14ac:dyDescent="0.35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x14ac:dyDescent="0.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x14ac:dyDescent="0.35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x14ac:dyDescent="0.35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x14ac:dyDescent="0.35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x14ac:dyDescent="0.35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x14ac:dyDescent="0.35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x14ac:dyDescent="0.35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x14ac:dyDescent="0.35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x14ac:dyDescent="0.35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x14ac:dyDescent="0.35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x14ac:dyDescent="0.3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x14ac:dyDescent="0.35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x14ac:dyDescent="0.35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x14ac:dyDescent="0.35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x14ac:dyDescent="0.35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x14ac:dyDescent="0.35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x14ac:dyDescent="0.35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x14ac:dyDescent="0.35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x14ac:dyDescent="0.35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x14ac:dyDescent="0.35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x14ac:dyDescent="0.3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x14ac:dyDescent="0.35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x14ac:dyDescent="0.35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x14ac:dyDescent="0.35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x14ac:dyDescent="0.35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x14ac:dyDescent="0.35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x14ac:dyDescent="0.35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x14ac:dyDescent="0.35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x14ac:dyDescent="0.35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x14ac:dyDescent="0.35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x14ac:dyDescent="0.3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x14ac:dyDescent="0.35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x14ac:dyDescent="0.35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x14ac:dyDescent="0.35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x14ac:dyDescent="0.35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x14ac:dyDescent="0.35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x14ac:dyDescent="0.35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x14ac:dyDescent="0.35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x14ac:dyDescent="0.35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x14ac:dyDescent="0.35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x14ac:dyDescent="0.3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x14ac:dyDescent="0.35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x14ac:dyDescent="0.35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x14ac:dyDescent="0.35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x14ac:dyDescent="0.35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x14ac:dyDescent="0.35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x14ac:dyDescent="0.35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x14ac:dyDescent="0.35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x14ac:dyDescent="0.35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x14ac:dyDescent="0.35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x14ac:dyDescent="0.3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x14ac:dyDescent="0.35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x14ac:dyDescent="0.35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x14ac:dyDescent="0.35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x14ac:dyDescent="0.35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x14ac:dyDescent="0.35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x14ac:dyDescent="0.35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x14ac:dyDescent="0.35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x14ac:dyDescent="0.35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x14ac:dyDescent="0.35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x14ac:dyDescent="0.3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x14ac:dyDescent="0.35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x14ac:dyDescent="0.35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x14ac:dyDescent="0.35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x14ac:dyDescent="0.35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x14ac:dyDescent="0.35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x14ac:dyDescent="0.35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x14ac:dyDescent="0.35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x14ac:dyDescent="0.35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x14ac:dyDescent="0.35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x14ac:dyDescent="0.3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x14ac:dyDescent="0.35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x14ac:dyDescent="0.35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x14ac:dyDescent="0.35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x14ac:dyDescent="0.35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x14ac:dyDescent="0.35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x14ac:dyDescent="0.35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x14ac:dyDescent="0.35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x14ac:dyDescent="0.35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x14ac:dyDescent="0.35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x14ac:dyDescent="0.3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x14ac:dyDescent="0.35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x14ac:dyDescent="0.35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x14ac:dyDescent="0.35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x14ac:dyDescent="0.35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x14ac:dyDescent="0.35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x14ac:dyDescent="0.35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x14ac:dyDescent="0.35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x14ac:dyDescent="0.35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x14ac:dyDescent="0.35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x14ac:dyDescent="0.3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x14ac:dyDescent="0.35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x14ac:dyDescent="0.35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x14ac:dyDescent="0.35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x14ac:dyDescent="0.35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x14ac:dyDescent="0.35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x14ac:dyDescent="0.35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x14ac:dyDescent="0.35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x14ac:dyDescent="0.35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x14ac:dyDescent="0.35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x14ac:dyDescent="0.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x14ac:dyDescent="0.35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x14ac:dyDescent="0.35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x14ac:dyDescent="0.35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x14ac:dyDescent="0.35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x14ac:dyDescent="0.35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x14ac:dyDescent="0.35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x14ac:dyDescent="0.35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x14ac:dyDescent="0.35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x14ac:dyDescent="0.35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x14ac:dyDescent="0.3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x14ac:dyDescent="0.35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x14ac:dyDescent="0.35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x14ac:dyDescent="0.35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x14ac:dyDescent="0.35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x14ac:dyDescent="0.35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x14ac:dyDescent="0.35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x14ac:dyDescent="0.35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x14ac:dyDescent="0.35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x14ac:dyDescent="0.35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x14ac:dyDescent="0.3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x14ac:dyDescent="0.35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x14ac:dyDescent="0.35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x14ac:dyDescent="0.35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x14ac:dyDescent="0.35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x14ac:dyDescent="0.35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x14ac:dyDescent="0.35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x14ac:dyDescent="0.35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x14ac:dyDescent="0.35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x14ac:dyDescent="0.35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x14ac:dyDescent="0.3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x14ac:dyDescent="0.35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x14ac:dyDescent="0.35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x14ac:dyDescent="0.35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x14ac:dyDescent="0.35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x14ac:dyDescent="0.35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x14ac:dyDescent="0.35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x14ac:dyDescent="0.35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x14ac:dyDescent="0.35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x14ac:dyDescent="0.35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x14ac:dyDescent="0.3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x14ac:dyDescent="0.35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x14ac:dyDescent="0.35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x14ac:dyDescent="0.35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x14ac:dyDescent="0.35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x14ac:dyDescent="0.35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x14ac:dyDescent="0.35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x14ac:dyDescent="0.35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x14ac:dyDescent="0.35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x14ac:dyDescent="0.35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x14ac:dyDescent="0.3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x14ac:dyDescent="0.35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x14ac:dyDescent="0.35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x14ac:dyDescent="0.35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x14ac:dyDescent="0.35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x14ac:dyDescent="0.35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x14ac:dyDescent="0.35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x14ac:dyDescent="0.35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x14ac:dyDescent="0.35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x14ac:dyDescent="0.35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x14ac:dyDescent="0.3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x14ac:dyDescent="0.35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x14ac:dyDescent="0.35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x14ac:dyDescent="0.35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x14ac:dyDescent="0.35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x14ac:dyDescent="0.35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x14ac:dyDescent="0.35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x14ac:dyDescent="0.35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x14ac:dyDescent="0.35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x14ac:dyDescent="0.35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x14ac:dyDescent="0.3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x14ac:dyDescent="0.35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x14ac:dyDescent="0.35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x14ac:dyDescent="0.35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x14ac:dyDescent="0.35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x14ac:dyDescent="0.35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x14ac:dyDescent="0.35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x14ac:dyDescent="0.35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x14ac:dyDescent="0.35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x14ac:dyDescent="0.35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x14ac:dyDescent="0.3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x14ac:dyDescent="0.35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x14ac:dyDescent="0.35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x14ac:dyDescent="0.35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x14ac:dyDescent="0.35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x14ac:dyDescent="0.35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x14ac:dyDescent="0.35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x14ac:dyDescent="0.35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x14ac:dyDescent="0.35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x14ac:dyDescent="0.35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x14ac:dyDescent="0.3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x14ac:dyDescent="0.35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x14ac:dyDescent="0.35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x14ac:dyDescent="0.35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x14ac:dyDescent="0.35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x14ac:dyDescent="0.35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x14ac:dyDescent="0.35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x14ac:dyDescent="0.35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x14ac:dyDescent="0.35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x14ac:dyDescent="0.35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x14ac:dyDescent="0.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x14ac:dyDescent="0.35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x14ac:dyDescent="0.35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x14ac:dyDescent="0.35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x14ac:dyDescent="0.35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x14ac:dyDescent="0.35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x14ac:dyDescent="0.35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x14ac:dyDescent="0.35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x14ac:dyDescent="0.35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x14ac:dyDescent="0.35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x14ac:dyDescent="0.3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x14ac:dyDescent="0.35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x14ac:dyDescent="0.35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x14ac:dyDescent="0.35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x14ac:dyDescent="0.35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x14ac:dyDescent="0.35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x14ac:dyDescent="0.35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x14ac:dyDescent="0.35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x14ac:dyDescent="0.35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x14ac:dyDescent="0.35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x14ac:dyDescent="0.3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x14ac:dyDescent="0.35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x14ac:dyDescent="0.35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x14ac:dyDescent="0.35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x14ac:dyDescent="0.35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x14ac:dyDescent="0.35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x14ac:dyDescent="0.35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x14ac:dyDescent="0.35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x14ac:dyDescent="0.35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x14ac:dyDescent="0.35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x14ac:dyDescent="0.3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x14ac:dyDescent="0.35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x14ac:dyDescent="0.35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x14ac:dyDescent="0.35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x14ac:dyDescent="0.35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x14ac:dyDescent="0.35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x14ac:dyDescent="0.35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x14ac:dyDescent="0.35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x14ac:dyDescent="0.35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x14ac:dyDescent="0.35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x14ac:dyDescent="0.3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x14ac:dyDescent="0.35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x14ac:dyDescent="0.35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x14ac:dyDescent="0.35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x14ac:dyDescent="0.35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x14ac:dyDescent="0.35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x14ac:dyDescent="0.35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x14ac:dyDescent="0.35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x14ac:dyDescent="0.35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x14ac:dyDescent="0.35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x14ac:dyDescent="0.3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x14ac:dyDescent="0.35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x14ac:dyDescent="0.35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x14ac:dyDescent="0.35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x14ac:dyDescent="0.35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x14ac:dyDescent="0.35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x14ac:dyDescent="0.35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x14ac:dyDescent="0.35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x14ac:dyDescent="0.35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x14ac:dyDescent="0.35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x14ac:dyDescent="0.3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x14ac:dyDescent="0.35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x14ac:dyDescent="0.35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x14ac:dyDescent="0.35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x14ac:dyDescent="0.35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x14ac:dyDescent="0.35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x14ac:dyDescent="0.35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x14ac:dyDescent="0.35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x14ac:dyDescent="0.35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x14ac:dyDescent="0.35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x14ac:dyDescent="0.3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x14ac:dyDescent="0.35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x14ac:dyDescent="0.35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x14ac:dyDescent="0.35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x14ac:dyDescent="0.35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x14ac:dyDescent="0.35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x14ac:dyDescent="0.35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x14ac:dyDescent="0.35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x14ac:dyDescent="0.35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x14ac:dyDescent="0.35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x14ac:dyDescent="0.3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x14ac:dyDescent="0.35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x14ac:dyDescent="0.35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x14ac:dyDescent="0.35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x14ac:dyDescent="0.35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x14ac:dyDescent="0.35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x14ac:dyDescent="0.35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x14ac:dyDescent="0.35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x14ac:dyDescent="0.35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x14ac:dyDescent="0.35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x14ac:dyDescent="0.3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x14ac:dyDescent="0.35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x14ac:dyDescent="0.35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x14ac:dyDescent="0.35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x14ac:dyDescent="0.35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x14ac:dyDescent="0.35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x14ac:dyDescent="0.35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x14ac:dyDescent="0.35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x14ac:dyDescent="0.35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x14ac:dyDescent="0.35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x14ac:dyDescent="0.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x14ac:dyDescent="0.35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x14ac:dyDescent="0.35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x14ac:dyDescent="0.35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x14ac:dyDescent="0.35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x14ac:dyDescent="0.35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x14ac:dyDescent="0.35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x14ac:dyDescent="0.35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x14ac:dyDescent="0.35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x14ac:dyDescent="0.35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x14ac:dyDescent="0.3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x14ac:dyDescent="0.35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x14ac:dyDescent="0.35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x14ac:dyDescent="0.35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x14ac:dyDescent="0.35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x14ac:dyDescent="0.35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x14ac:dyDescent="0.35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x14ac:dyDescent="0.35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x14ac:dyDescent="0.35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x14ac:dyDescent="0.35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x14ac:dyDescent="0.3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x14ac:dyDescent="0.35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x14ac:dyDescent="0.35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x14ac:dyDescent="0.35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x14ac:dyDescent="0.35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x14ac:dyDescent="0.35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x14ac:dyDescent="0.35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x14ac:dyDescent="0.35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x14ac:dyDescent="0.35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x14ac:dyDescent="0.35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x14ac:dyDescent="0.3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x14ac:dyDescent="0.35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x14ac:dyDescent="0.35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x14ac:dyDescent="0.35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x14ac:dyDescent="0.35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x14ac:dyDescent="0.35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x14ac:dyDescent="0.35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x14ac:dyDescent="0.35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x14ac:dyDescent="0.35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x14ac:dyDescent="0.35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x14ac:dyDescent="0.3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x14ac:dyDescent="0.35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x14ac:dyDescent="0.35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x14ac:dyDescent="0.35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x14ac:dyDescent="0.35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x14ac:dyDescent="0.35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x14ac:dyDescent="0.35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x14ac:dyDescent="0.35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x14ac:dyDescent="0.35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x14ac:dyDescent="0.35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x14ac:dyDescent="0.3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x14ac:dyDescent="0.35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x14ac:dyDescent="0.35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x14ac:dyDescent="0.35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x14ac:dyDescent="0.35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x14ac:dyDescent="0.35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x14ac:dyDescent="0.35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x14ac:dyDescent="0.35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x14ac:dyDescent="0.35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</sheetData>
  <mergeCells count="18">
    <mergeCell ref="A6:H6"/>
    <mergeCell ref="A1:H1"/>
    <mergeCell ref="A2:H2"/>
    <mergeCell ref="A3:H3"/>
    <mergeCell ref="A4:H4"/>
    <mergeCell ref="A5:H5"/>
    <mergeCell ref="G52:H52"/>
    <mergeCell ref="A7:H7"/>
    <mergeCell ref="A8:H8"/>
    <mergeCell ref="A9:H9"/>
    <mergeCell ref="B11:C11"/>
    <mergeCell ref="A24:E24"/>
    <mergeCell ref="G26:H26"/>
    <mergeCell ref="A32:E32"/>
    <mergeCell ref="G34:H34"/>
    <mergeCell ref="A41:E41"/>
    <mergeCell ref="G43:H43"/>
    <mergeCell ref="A49:E4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 1</vt:lpstr>
      <vt:lpstr>Assignment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sweta</dc:creator>
  <cp:lastModifiedBy>sweta</cp:lastModifiedBy>
  <dcterms:created xsi:type="dcterms:W3CDTF">2025-11-05T04:05:59Z</dcterms:created>
  <dcterms:modified xsi:type="dcterms:W3CDTF">2025-11-05T05:48:21Z</dcterms:modified>
</cp:coreProperties>
</file>